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EXCEL EXERCISE\30 Days Challenge EXCEL\"/>
    </mc:Choice>
  </mc:AlternateContent>
  <xr:revisionPtr revIDLastSave="0" documentId="13_ncr:1_{51AEE552-EBFA-4F9F-AA93-0A6E950F0047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instructions" sheetId="1" r:id="rId1"/>
    <sheet name="campaign_engagement" sheetId="2" r:id="rId2"/>
    <sheet name="audience_by_age" sheetId="3" r:id="rId3"/>
    <sheet name="dropout_analysis" sheetId="4" r:id="rId4"/>
    <sheet name="dashboard" sheetId="5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A11" i="1" l="1"/>
  <c r="F2" i="4"/>
  <c r="F3" i="4"/>
  <c r="F4" i="4"/>
  <c r="F5" i="4"/>
  <c r="F6" i="4"/>
  <c r="F7" i="4"/>
  <c r="B8" i="4"/>
  <c r="B8" i="3"/>
  <c r="E2" i="2"/>
  <c r="E3" i="2"/>
  <c r="E4" i="2"/>
  <c r="E5" i="2"/>
  <c r="E6" i="2"/>
  <c r="E7" i="2"/>
</calcChain>
</file>

<file path=xl/sharedStrings.xml><?xml version="1.0" encoding="utf-8"?>
<sst xmlns="http://schemas.openxmlformats.org/spreadsheetml/2006/main" count="57" uniqueCount="46">
  <si>
    <t>📘 Day 22 Exercise - Data Visualization Practice</t>
  </si>
  <si>
    <t>🎯 Goal:</t>
  </si>
  <si>
    <t>You're working as a Junior Data Analyst for a UK-based public health initiative.</t>
  </si>
  <si>
    <t>You’ve been given data from a recent campaign and need to create visuals that tell a story.</t>
  </si>
  <si>
    <t>📌 Scenario:</t>
  </si>
  <si>
    <t>The campaign ran across 6 UK cities to raise awareness around mental wellbeing and access to free health checkups.</t>
  </si>
  <si>
    <t>You need to build visuals that help your managers and stakeholders answer these questions:</t>
  </si>
  <si>
    <t>- Which cities are seeing the highest campaign reach?</t>
  </si>
  <si>
    <t>- Which age groups are engaging most with the campaign?</t>
  </si>
  <si>
    <t>- Are there any red flags we should be aware of?</t>
  </si>
  <si>
    <t>🛠️ Tasks:</t>
  </si>
  <si>
    <t>1️⃣ Use bar charts to compare city-level engagement.</t>
  </si>
  <si>
    <t>2️⃣ Use colour intentionally to highlight trends or outliers.</t>
  </si>
  <si>
    <t>3️⃣ Sort your data so high-performing categories are easier to spot.</t>
  </si>
  <si>
    <t>4️⃣ Remove gridlines and clutter to keep visuals clean.</t>
  </si>
  <si>
    <t>5️⃣ Add clear chart titles and subtitles to tell the story behind the numbers.</t>
  </si>
  <si>
    <t>📊 Dataset Tabs:</t>
  </si>
  <si>
    <t>- 'campaign_engagement' → Summary by city</t>
  </si>
  <si>
    <t>- 'audience_by_age' → Engagement breakdown by age group</t>
  </si>
  <si>
    <t>- 'dropout_analysis' → People who registered vs completed appointments</t>
  </si>
  <si>
    <t>City</t>
  </si>
  <si>
    <t>Reach</t>
  </si>
  <si>
    <t>Registrations</t>
  </si>
  <si>
    <t>Completion Rate (%)</t>
  </si>
  <si>
    <t>Manchester</t>
  </si>
  <si>
    <t>Bristol</t>
  </si>
  <si>
    <t>Leeds</t>
  </si>
  <si>
    <t>Glasgow</t>
  </si>
  <si>
    <t>Liverpool</t>
  </si>
  <si>
    <t>Birmingham</t>
  </si>
  <si>
    <t>Age Group</t>
  </si>
  <si>
    <t>18-24</t>
  </si>
  <si>
    <t>25-34</t>
  </si>
  <si>
    <t>35-44</t>
  </si>
  <si>
    <t>45-54</t>
  </si>
  <si>
    <t>55-64</t>
  </si>
  <si>
    <t>65+</t>
  </si>
  <si>
    <t>Registered</t>
  </si>
  <si>
    <t>Completed</t>
  </si>
  <si>
    <t>Dropouts</t>
  </si>
  <si>
    <t>Dropout Rate (%)</t>
  </si>
  <si>
    <t>Yes</t>
  </si>
  <si>
    <t>No</t>
  </si>
  <si>
    <t>Reach Rate (%)</t>
  </si>
  <si>
    <t>Total</t>
  </si>
  <si>
    <t>Dashboard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</si>
</sst>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9155B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1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3" fillId="2" borderId="0" xfId="0" applyFont="1" applyFill="1"/>
    <xf numFmtId="0" fontId="4" fillId="2" borderId="0" xfId="0" applyFont="1" applyFill="1"/>
  </cellXfs>
  <cellStyles count="2">
    <cellStyle name="Normal" xfId="0" builtinId="0"/>
    <cellStyle name="Percent" xfId="1" builtinId="5"/>
  </cellStyles>
  <dxfs count="2">
    <dxf>
      <alignment vertical="center"/>
    </dxf>
    <dxf>
      <alignment horizontal="center"/>
    </dxf>
  </dxfs>
  <tableStyles count="0" defaultTableStyle="TableStyleMedium9" defaultPivotStyle="PivotStyleLight16"/>
  <colors>
    <mruColors>
      <color rgb="FFFFBA86"/>
      <color rgb="FFF6635C"/>
      <color rgb="FF79155B"/>
      <color rgb="FFC23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>
                    <a:lumMod val="95000"/>
                  </a:schemeClr>
                </a:solidFill>
              </a:rPr>
              <a:t>City-level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304276317698499"/>
          <c:y val="0.20893426519008321"/>
          <c:w val="0.76590169680776365"/>
          <c:h val="0.74797169592574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campaign_engagement!$B$1</c:f>
              <c:strCache>
                <c:ptCount val="1"/>
                <c:pt idx="0">
                  <c:v>Reach</c:v>
                </c:pt>
              </c:strCache>
            </c:strRef>
          </c:tx>
          <c:spPr>
            <a:solidFill>
              <a:srgbClr val="FFBA86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6635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86-4DEF-985B-07E8F4A54F26}"/>
              </c:ext>
            </c:extLst>
          </c:dPt>
          <c:dLbls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13156C7-1F29-4D73-9874-43CC6B4DD7F9}" type="VALUE">
                      <a:rPr lang="en-US" b="1">
                        <a:solidFill>
                          <a:schemeClr val="bg1">
                            <a:lumMod val="95000"/>
                          </a:schemeClr>
                        </a:solidFill>
                      </a:rPr>
                      <a:pPr>
                        <a:defRPr b="1">
                          <a:solidFill>
                            <a:schemeClr val="bg1">
                              <a:lumMod val="95000"/>
                            </a:schemeClr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E86-4DEF-985B-07E8F4A54F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9155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campaign_engagement!$A$2:$A$7</c:f>
              <c:strCache>
                <c:ptCount val="6"/>
                <c:pt idx="0">
                  <c:v>Manchester</c:v>
                </c:pt>
                <c:pt idx="1">
                  <c:v>Bristol</c:v>
                </c:pt>
                <c:pt idx="2">
                  <c:v>Leeds</c:v>
                </c:pt>
                <c:pt idx="3">
                  <c:v>Glasgow</c:v>
                </c:pt>
                <c:pt idx="4">
                  <c:v>Liverpool</c:v>
                </c:pt>
                <c:pt idx="5">
                  <c:v>Birmingham</c:v>
                </c:pt>
              </c:strCache>
            </c:strRef>
          </c:cat>
          <c:val>
            <c:numRef>
              <c:f>campaign_engagement!$B$2:$B$7</c:f>
              <c:numCache>
                <c:formatCode>General</c:formatCode>
                <c:ptCount val="6"/>
                <c:pt idx="0">
                  <c:v>3400</c:v>
                </c:pt>
                <c:pt idx="1">
                  <c:v>2900</c:v>
                </c:pt>
                <c:pt idx="2">
                  <c:v>3200</c:v>
                </c:pt>
                <c:pt idx="3">
                  <c:v>2750</c:v>
                </c:pt>
                <c:pt idx="4">
                  <c:v>3100</c:v>
                </c:pt>
                <c:pt idx="5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6-4DEF-985B-07E8F4A54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081214480"/>
        <c:axId val="2081214960"/>
      </c:barChart>
      <c:catAx>
        <c:axId val="208121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14960"/>
        <c:crosses val="autoZero"/>
        <c:auto val="1"/>
        <c:lblAlgn val="ctr"/>
        <c:lblOffset val="100"/>
        <c:noMultiLvlLbl val="0"/>
      </c:catAx>
      <c:valAx>
        <c:axId val="2081214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121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[Day22_Practice_Challenge.xlsx]dropout_analysis!PivotTable5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Are people completing their appointments after registering?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663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BA8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bg1">
                      <a:lumMod val="95000"/>
                    </a:schemeClr>
                  </a:solidFill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1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7428783820028274"/>
          <c:w val="1"/>
          <c:h val="0.71169464100246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dropout_analysis!$J$2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663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dropout_analysis!$J$3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dropout_analysis!$J$3</c:f>
              <c:numCache>
                <c:formatCode>General</c:formatCode>
                <c:ptCount val="1"/>
                <c:pt idx="0">
                  <c:v>7439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E9-4429-A191-8CC6C10F4FC1}"/>
            </c:ext>
          </c:extLst>
        </c:ser>
        <c:ser>
          <c:idx val="1"/>
          <c:order val="1"/>
          <c:tx>
            <c:strRef>
              <c:f>dropout_analysis!$K$2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BA8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B2E9-4429-A191-8CC6C10F4FC1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E9-4429-A191-8CC6C10F4F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dropout_analysis!$J$3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dropout_analysis!$K$3</c:f>
              <c:numCache>
                <c:formatCode>General</c:formatCode>
                <c:ptCount val="1"/>
                <c:pt idx="0">
                  <c:v>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2E9-4429-A191-8CC6C10F4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239920"/>
        <c:axId val="2081243280"/>
      </c:barChart>
      <c:catAx>
        <c:axId val="2081239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1243280"/>
        <c:crosses val="autoZero"/>
        <c:auto val="1"/>
        <c:lblAlgn val="ctr"/>
        <c:lblOffset val="100"/>
        <c:noMultiLvlLbl val="0"/>
      </c:catAx>
      <c:valAx>
        <c:axId val="2081243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1239920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3175"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Engaging</a:t>
            </a:r>
            <a:r>
              <a:rPr lang="en-US" sz="1400" b="1" baseline="0">
                <a:solidFill>
                  <a:schemeClr val="bg1">
                    <a:lumMod val="95000"/>
                  </a:schemeClr>
                </a:solidFill>
              </a:rPr>
              <a:t> by Age Group</a:t>
            </a:r>
            <a:endParaRPr lang="en-US" sz="1400" b="1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536991818607843E-2"/>
          <c:y val="4.7123015873015872E-2"/>
          <c:w val="0.91892601636278426"/>
          <c:h val="0.775356763440284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audience_by_age!$B$1</c:f>
              <c:strCache>
                <c:ptCount val="1"/>
                <c:pt idx="0">
                  <c:v>Registrations</c:v>
                </c:pt>
              </c:strCache>
            </c:strRef>
          </c:tx>
          <c:spPr>
            <a:solidFill>
              <a:srgbClr val="FFBA8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6635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FB7-4C65-AAE9-C3572E9A0C94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B7-4C65-AAE9-C3572E9A0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audience_by_age!$A$2:$A$7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audience_by_age!$B$2:$B$7</c:f>
              <c:numCache>
                <c:formatCode>General</c:formatCode>
                <c:ptCount val="6"/>
                <c:pt idx="0">
                  <c:v>1200</c:v>
                </c:pt>
                <c:pt idx="1">
                  <c:v>1450</c:v>
                </c:pt>
                <c:pt idx="2">
                  <c:v>1100</c:v>
                </c:pt>
                <c:pt idx="3">
                  <c:v>950</c:v>
                </c:pt>
                <c:pt idx="4">
                  <c:v>600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8-40F2-84FE-B13DC1DBF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81224560"/>
        <c:axId val="2081209680"/>
      </c:barChart>
      <c:catAx>
        <c:axId val="20812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209680"/>
        <c:crosses val="autoZero"/>
        <c:auto val="1"/>
        <c:lblAlgn val="ctr"/>
        <c:lblOffset val="100"/>
        <c:noMultiLvlLbl val="0"/>
      </c:catAx>
      <c:valAx>
        <c:axId val="2081209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122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4</xdr:row>
      <xdr:rowOff>101599</xdr:rowOff>
    </xdr:from>
    <xdr:to>
      <xdr:col>9</xdr:col>
      <xdr:colOff>204107</xdr:colOff>
      <xdr:row>14</xdr:row>
      <xdr:rowOff>55539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DD8D7-3DC6-4F47-A4BB-FA330E97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293007</xdr:colOff>
      <xdr:row>4</xdr:row>
      <xdr:rowOff>95251</xdr:rowOff>
    </xdr:from>
    <xdr:to>
      <xdr:col>13</xdr:col>
      <xdr:colOff>226785</xdr:colOff>
      <xdr:row>24</xdr:row>
      <xdr:rowOff>90715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6DFB7-1926-465A-AAAA-DEBC7A3BE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431801</xdr:colOff>
      <xdr:row>14</xdr:row>
      <xdr:rowOff>88207</xdr:rowOff>
    </xdr:from>
    <xdr:to>
      <xdr:col>9</xdr:col>
      <xdr:colOff>204107</xdr:colOff>
      <xdr:row>24</xdr:row>
      <xdr:rowOff>66145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E8A4D7-FCF8-4C5F-BB8A-8E3545A18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126380</xdr:colOff>
      <xdr:row>4</xdr:row>
      <xdr:rowOff>99427</xdr:rowOff>
    </xdr:from>
    <xdr:to>
      <xdr:col>3</xdr:col>
      <xdr:colOff>348630</xdr:colOff>
      <xdr:row>8</xdr:row>
      <xdr:rowOff>74309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B549A1C-0B15-838E-DD69-E626217D3C65}"/>
            </a:ext>
          </a:extLst>
        </xdr:cNvPr>
        <xdr:cNvGrpSpPr/>
      </xdr:nvGrpSpPr>
      <xdr:grpSpPr>
        <a:xfrm>
          <a:off x="733158" y="1073094"/>
          <a:ext cx="1435805" cy="708659"/>
          <a:chOff x="734619" y="471356"/>
          <a:chExt cx="1437821" cy="718739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14E6BA1-32E3-DDBB-1A90-87FF2BCDF125}"/>
              </a:ext>
            </a:extLst>
          </xdr:cNvPr>
          <xdr:cNvSpPr/>
        </xdr:nvSpPr>
        <xdr:spPr>
          <a:xfrm>
            <a:off x="734619" y="471356"/>
            <a:ext cx="1437821" cy="566550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/>
              <a:t> </a:t>
            </a:r>
            <a:r>
              <a:rPr lang="en-US" sz="1800" b="1">
                <a:solidFill>
                  <a:srgbClr val="FFBA86"/>
                </a:solidFill>
              </a:rPr>
              <a:t>Birmingham</a:t>
            </a:r>
            <a:endParaRPr lang="en-US" sz="1400" b="1">
              <a:solidFill>
                <a:srgbClr val="FFBA86"/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8305E07-30FD-07C8-4EB7-99F34F18AA0C}"/>
              </a:ext>
            </a:extLst>
          </xdr:cNvPr>
          <xdr:cNvSpPr txBox="1"/>
        </xdr:nvSpPr>
        <xdr:spPr>
          <a:xfrm>
            <a:off x="736137" y="1037906"/>
            <a:ext cx="1436078" cy="152189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800" b="1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The</a:t>
            </a:r>
            <a:r>
              <a:rPr lang="en-US" sz="800" b="1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 Most City Campaign</a:t>
            </a:r>
            <a:endParaRPr lang="en-US" sz="800" b="1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126380</xdr:colOff>
      <xdr:row>9</xdr:row>
      <xdr:rowOff>157182</xdr:rowOff>
    </xdr:from>
    <xdr:to>
      <xdr:col>3</xdr:col>
      <xdr:colOff>348630</xdr:colOff>
      <xdr:row>13</xdr:row>
      <xdr:rowOff>132064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3591E75-B400-467E-BDE4-3A49F305EE7D}"/>
            </a:ext>
          </a:extLst>
        </xdr:cNvPr>
        <xdr:cNvGrpSpPr/>
      </xdr:nvGrpSpPr>
      <xdr:grpSpPr>
        <a:xfrm>
          <a:off x="733158" y="2048071"/>
          <a:ext cx="1435805" cy="708660"/>
          <a:chOff x="734619" y="471356"/>
          <a:chExt cx="1437821" cy="718739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24FBA400-651F-9D9B-7B14-50A796DDA08D}"/>
              </a:ext>
            </a:extLst>
          </xdr:cNvPr>
          <xdr:cNvSpPr/>
        </xdr:nvSpPr>
        <xdr:spPr>
          <a:xfrm>
            <a:off x="734619" y="471356"/>
            <a:ext cx="1437821" cy="566550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800" b="1">
                <a:solidFill>
                  <a:srgbClr val="FFBA86"/>
                </a:solidFill>
              </a:rPr>
              <a:t>25 - 34</a:t>
            </a:r>
          </a:p>
          <a:p>
            <a:pPr algn="ctr"/>
            <a:r>
              <a:rPr lang="en-US" sz="1100" b="1">
                <a:solidFill>
                  <a:srgbClr val="FFBA86"/>
                </a:solidFill>
              </a:rPr>
              <a:t>Years Old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64BE79A-34E2-F43D-30A8-F871CCDAE957}"/>
              </a:ext>
            </a:extLst>
          </xdr:cNvPr>
          <xdr:cNvSpPr txBox="1"/>
        </xdr:nvSpPr>
        <xdr:spPr>
          <a:xfrm>
            <a:off x="736137" y="1037906"/>
            <a:ext cx="1436078" cy="152189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800" b="1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The</a:t>
            </a:r>
            <a:r>
              <a:rPr lang="en-US" sz="800" b="1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 Most Audience by Age</a:t>
            </a:r>
            <a:endParaRPr lang="en-US" sz="800" b="1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126380</xdr:colOff>
      <xdr:row>15</xdr:row>
      <xdr:rowOff>33509</xdr:rowOff>
    </xdr:from>
    <xdr:to>
      <xdr:col>3</xdr:col>
      <xdr:colOff>348630</xdr:colOff>
      <xdr:row>19</xdr:row>
      <xdr:rowOff>8390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A10184DA-0020-4582-AF8A-D0D2A71F0B0E}"/>
            </a:ext>
          </a:extLst>
        </xdr:cNvPr>
        <xdr:cNvGrpSpPr/>
      </xdr:nvGrpSpPr>
      <xdr:grpSpPr>
        <a:xfrm>
          <a:off x="733158" y="3025065"/>
          <a:ext cx="1435805" cy="708658"/>
          <a:chOff x="734619" y="471356"/>
          <a:chExt cx="1437821" cy="718739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94730B16-AACF-77B7-9E4D-9981B07A2BDE}"/>
              </a:ext>
            </a:extLst>
          </xdr:cNvPr>
          <xdr:cNvSpPr/>
        </xdr:nvSpPr>
        <xdr:spPr>
          <a:xfrm>
            <a:off x="734619" y="471356"/>
            <a:ext cx="1437821" cy="566550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/>
              <a:t> </a:t>
            </a:r>
            <a:r>
              <a:rPr lang="en-US" sz="2200" b="1">
                <a:solidFill>
                  <a:srgbClr val="FFBA86"/>
                </a:solidFill>
              </a:rPr>
              <a:t>68%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F471A5D9-C77E-7E8E-DCA2-B4125A561589}"/>
              </a:ext>
            </a:extLst>
          </xdr:cNvPr>
          <xdr:cNvSpPr txBox="1"/>
        </xdr:nvSpPr>
        <xdr:spPr>
          <a:xfrm>
            <a:off x="736137" y="1037906"/>
            <a:ext cx="1436078" cy="152189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800" b="1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Completion</a:t>
            </a:r>
            <a:r>
              <a:rPr lang="en-US" sz="800" b="1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 Rate</a:t>
            </a:r>
          </a:p>
        </xdr:txBody>
      </xdr:sp>
    </xdr:grpSp>
    <xdr:clientData/>
  </xdr:twoCellAnchor>
  <xdr:twoCellAnchor>
    <xdr:from>
      <xdr:col>1</xdr:col>
      <xdr:colOff>126380</xdr:colOff>
      <xdr:row>20</xdr:row>
      <xdr:rowOff>91263</xdr:rowOff>
    </xdr:from>
    <xdr:to>
      <xdr:col>3</xdr:col>
      <xdr:colOff>348630</xdr:colOff>
      <xdr:row>24</xdr:row>
      <xdr:rowOff>66145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92F33FC5-87DC-4178-B086-6D200A004C9E}"/>
            </a:ext>
          </a:extLst>
        </xdr:cNvPr>
        <xdr:cNvGrpSpPr/>
      </xdr:nvGrpSpPr>
      <xdr:grpSpPr>
        <a:xfrm>
          <a:off x="733158" y="4000041"/>
          <a:ext cx="1435805" cy="708660"/>
          <a:chOff x="734619" y="471356"/>
          <a:chExt cx="1437821" cy="718739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E053B8EE-878F-2503-5388-D4E2BB3DDB19}"/>
              </a:ext>
            </a:extLst>
          </xdr:cNvPr>
          <xdr:cNvSpPr/>
        </xdr:nvSpPr>
        <xdr:spPr>
          <a:xfrm>
            <a:off x="734619" y="471356"/>
            <a:ext cx="1437821" cy="566550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/>
              <a:t> </a:t>
            </a:r>
            <a:r>
              <a:rPr lang="en-US" sz="2200" b="1">
                <a:solidFill>
                  <a:srgbClr val="FFBA86"/>
                </a:solidFill>
              </a:rPr>
              <a:t>32%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E564960D-B3F0-711E-ACB5-5D5CEF98AE74}"/>
              </a:ext>
            </a:extLst>
          </xdr:cNvPr>
          <xdr:cNvSpPr txBox="1"/>
        </xdr:nvSpPr>
        <xdr:spPr>
          <a:xfrm>
            <a:off x="736137" y="1037906"/>
            <a:ext cx="1436078" cy="152189"/>
          </a:xfrm>
          <a:prstGeom prst="rect">
            <a:avLst/>
          </a:prstGeom>
          <a:solidFill>
            <a:srgbClr val="C23373"/>
          </a:solidFill>
          <a:ln w="3175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800" b="1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Dropout Rate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0.878278240743" createdVersion="8" refreshedVersion="8" minRefreshableVersion="3" recordCount="6" xr:uid="{FD662BA5-A2C9-44B3-AEFF-9561CFD7D39E}">
  <cacheSource type="worksheet">
    <worksheetSource ref="A1:E7" sheet="dropout_analysis"/>
  </cacheSource>
  <cacheFields count="5">
    <cacheField name="City" numFmtId="0">
      <sharedItems/>
    </cacheField>
    <cacheField name="Registered" numFmtId="0">
      <sharedItems containsSemiMixedTypes="0" containsString="0" containsNumber="1" containsInteger="1" minValue="1600" maxValue="2300" count="6">
        <n v="2100"/>
        <n v="1750"/>
        <n v="1900"/>
        <n v="1600"/>
        <n v="1850"/>
        <n v="2300"/>
      </sharedItems>
    </cacheField>
    <cacheField name="Completed" numFmtId="0">
      <sharedItems containsSemiMixedTypes="0" containsString="0" containsNumber="1" containsInteger="1" minValue="928" maxValue="1633"/>
    </cacheField>
    <cacheField name="Dropouts" numFmtId="0">
      <sharedItems containsSemiMixedTypes="0" containsString="0" containsNumber="1" containsInteger="1" minValue="665" maxValue="703"/>
    </cacheField>
    <cacheField name="Dropout Rate (%)" numFmtId="0">
      <sharedItems containsSemiMixedTypes="0" containsString="0" containsNumber="1" containsInteger="1" minValue="29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Manchester"/>
    <x v="0"/>
    <n v="1428"/>
    <n v="672"/>
    <n v="32"/>
  </r>
  <r>
    <s v="Bristol"/>
    <x v="1"/>
    <n v="1068"/>
    <n v="682"/>
    <n v="39"/>
  </r>
  <r>
    <s v="Leeds"/>
    <x v="2"/>
    <n v="1235"/>
    <n v="665"/>
    <n v="35"/>
  </r>
  <r>
    <s v="Glasgow"/>
    <x v="3"/>
    <n v="928"/>
    <n v="672"/>
    <n v="42"/>
  </r>
  <r>
    <s v="Liverpool"/>
    <x v="4"/>
    <n v="1147"/>
    <n v="703"/>
    <n v="38"/>
  </r>
  <r>
    <s v="Birmingham"/>
    <x v="5"/>
    <n v="1633"/>
    <n v="667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FA867-FB6A-43C3-B0A5-2033FD67733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2:K3" firstHeaderRow="0" firstDataRow="1" firstDataCol="0"/>
  <pivotFields count="5">
    <pivotField showAll="0"/>
    <pivotField showAll="0">
      <items count="7">
        <item x="3"/>
        <item x="1"/>
        <item x="4"/>
        <item x="2"/>
        <item x="0"/>
        <item x="5"/>
        <item t="default"/>
      </items>
    </pivotField>
    <pivotField dataField="1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Yes" fld="2" baseField="0" baseItem="0"/>
    <dataField name="No" fld="3" baseField="0" baseItem="0"/>
  </dataFields>
  <formats count="2"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9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1" sqref="A11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e">
        <f>- Are people completing their appointments after registering?</f>
        <v>#NAME?</v>
      </c>
    </row>
    <row r="12" spans="1:1" x14ac:dyDescent="0.35">
      <c r="A12" t="s">
        <v>8</v>
      </c>
    </row>
    <row r="13" spans="1:1" x14ac:dyDescent="0.35">
      <c r="A13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2" spans="1:1" x14ac:dyDescent="0.35">
      <c r="A22" t="s">
        <v>16</v>
      </c>
    </row>
    <row r="23" spans="1:1" x14ac:dyDescent="0.35">
      <c r="A23" t="s">
        <v>17</v>
      </c>
    </row>
    <row r="24" spans="1:1" x14ac:dyDescent="0.35">
      <c r="A24" t="s">
        <v>18</v>
      </c>
    </row>
    <row r="25" spans="1:1" x14ac:dyDescent="0.35">
      <c r="A2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B7"/>
    </sheetView>
  </sheetViews>
  <sheetFormatPr defaultRowHeight="14.5" x14ac:dyDescent="0.35"/>
  <cols>
    <col min="1" max="2" width="12.36328125" customWidth="1"/>
    <col min="3" max="3" width="16.54296875" customWidth="1"/>
    <col min="4" max="4" width="22.54296875" customWidth="1"/>
    <col min="5" max="5" width="13.36328125" bestFit="1" customWidth="1"/>
  </cols>
  <sheetData>
    <row r="1" spans="1:6" x14ac:dyDescent="0.35">
      <c r="A1" s="1" t="s">
        <v>20</v>
      </c>
      <c r="B1" s="1" t="s">
        <v>21</v>
      </c>
      <c r="C1" s="1" t="s">
        <v>22</v>
      </c>
      <c r="D1" s="1" t="s">
        <v>23</v>
      </c>
      <c r="E1" s="6" t="s">
        <v>43</v>
      </c>
    </row>
    <row r="2" spans="1:6" x14ac:dyDescent="0.35">
      <c r="A2" t="s">
        <v>24</v>
      </c>
      <c r="B2" s="2">
        <v>3400</v>
      </c>
      <c r="C2" s="2">
        <v>2100</v>
      </c>
      <c r="D2" s="2">
        <v>68</v>
      </c>
      <c r="E2" s="7">
        <f>($C2/$B2)*100</f>
        <v>61.764705882352942</v>
      </c>
      <c r="F2" s="4"/>
    </row>
    <row r="3" spans="1:6" x14ac:dyDescent="0.35">
      <c r="A3" t="s">
        <v>25</v>
      </c>
      <c r="B3" s="2">
        <v>2900</v>
      </c>
      <c r="C3" s="2">
        <v>1750</v>
      </c>
      <c r="D3" s="2">
        <v>61</v>
      </c>
      <c r="E3" s="7">
        <f t="shared" ref="E3:E7" si="0">($C3/$B3)*100</f>
        <v>60.344827586206897</v>
      </c>
      <c r="F3" s="4"/>
    </row>
    <row r="4" spans="1:6" x14ac:dyDescent="0.35">
      <c r="A4" t="s">
        <v>26</v>
      </c>
      <c r="B4" s="2">
        <v>3200</v>
      </c>
      <c r="C4" s="2">
        <v>1900</v>
      </c>
      <c r="D4" s="2">
        <v>65</v>
      </c>
      <c r="E4" s="7">
        <f t="shared" si="0"/>
        <v>59.375</v>
      </c>
      <c r="F4" s="4"/>
    </row>
    <row r="5" spans="1:6" x14ac:dyDescent="0.35">
      <c r="A5" t="s">
        <v>27</v>
      </c>
      <c r="B5" s="2">
        <v>2750</v>
      </c>
      <c r="C5" s="2">
        <v>1600</v>
      </c>
      <c r="D5" s="2">
        <v>58</v>
      </c>
      <c r="E5" s="7">
        <f t="shared" si="0"/>
        <v>58.18181818181818</v>
      </c>
      <c r="F5" s="4"/>
    </row>
    <row r="6" spans="1:6" x14ac:dyDescent="0.35">
      <c r="A6" t="s">
        <v>28</v>
      </c>
      <c r="B6" s="2">
        <v>3100</v>
      </c>
      <c r="C6" s="2">
        <v>1850</v>
      </c>
      <c r="D6" s="2">
        <v>62</v>
      </c>
      <c r="E6" s="7">
        <f t="shared" si="0"/>
        <v>59.677419354838712</v>
      </c>
      <c r="F6" s="4"/>
    </row>
    <row r="7" spans="1:6" x14ac:dyDescent="0.35">
      <c r="A7" t="s">
        <v>29</v>
      </c>
      <c r="B7" s="2">
        <v>3600</v>
      </c>
      <c r="C7" s="2">
        <v>2300</v>
      </c>
      <c r="D7" s="2">
        <v>71</v>
      </c>
      <c r="E7" s="7">
        <f t="shared" si="0"/>
        <v>63.888888888888886</v>
      </c>
      <c r="F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M17" sqref="M17"/>
    </sheetView>
  </sheetViews>
  <sheetFormatPr defaultColWidth="8.453125" defaultRowHeight="14.5" x14ac:dyDescent="0.35"/>
  <cols>
    <col min="1" max="1" width="11.26953125" customWidth="1"/>
    <col min="2" max="2" width="13.08984375" customWidth="1"/>
    <col min="3" max="3" width="19.1796875" customWidth="1"/>
  </cols>
  <sheetData>
    <row r="1" spans="1:4" x14ac:dyDescent="0.35">
      <c r="A1" s="1" t="s">
        <v>30</v>
      </c>
      <c r="B1" s="1" t="s">
        <v>22</v>
      </c>
      <c r="C1" s="1" t="s">
        <v>23</v>
      </c>
      <c r="D1" s="3"/>
    </row>
    <row r="2" spans="1:4" x14ac:dyDescent="0.35">
      <c r="A2" s="2" t="s">
        <v>31</v>
      </c>
      <c r="B2" s="2">
        <v>1200</v>
      </c>
      <c r="C2" s="2">
        <v>60</v>
      </c>
    </row>
    <row r="3" spans="1:4" x14ac:dyDescent="0.35">
      <c r="A3" s="2" t="s">
        <v>32</v>
      </c>
      <c r="B3" s="2">
        <v>1450</v>
      </c>
      <c r="C3" s="2">
        <v>72</v>
      </c>
    </row>
    <row r="4" spans="1:4" x14ac:dyDescent="0.35">
      <c r="A4" s="2" t="s">
        <v>33</v>
      </c>
      <c r="B4" s="2">
        <v>1100</v>
      </c>
      <c r="C4" s="2">
        <v>66</v>
      </c>
    </row>
    <row r="5" spans="1:4" x14ac:dyDescent="0.35">
      <c r="A5" s="2" t="s">
        <v>34</v>
      </c>
      <c r="B5" s="2">
        <v>950</v>
      </c>
      <c r="C5" s="2">
        <v>58</v>
      </c>
    </row>
    <row r="6" spans="1:4" x14ac:dyDescent="0.35">
      <c r="A6" s="2" t="s">
        <v>35</v>
      </c>
      <c r="B6" s="2">
        <v>600</v>
      </c>
      <c r="C6" s="2">
        <v>52</v>
      </c>
    </row>
    <row r="7" spans="1:4" x14ac:dyDescent="0.35">
      <c r="A7" s="2" t="s">
        <v>36</v>
      </c>
      <c r="B7" s="2">
        <v>400</v>
      </c>
      <c r="C7" s="2">
        <v>49</v>
      </c>
    </row>
    <row r="8" spans="1:4" x14ac:dyDescent="0.35">
      <c r="A8" s="9" t="s">
        <v>44</v>
      </c>
      <c r="B8" s="8">
        <f>SUM(B2:B7)</f>
        <v>5700</v>
      </c>
      <c r="C8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selection activeCell="M10" sqref="M10"/>
    </sheetView>
  </sheetViews>
  <sheetFormatPr defaultRowHeight="14.5" x14ac:dyDescent="0.35"/>
  <cols>
    <col min="1" max="1" width="10.90625" bestFit="1" customWidth="1"/>
    <col min="2" max="2" width="9.6328125" bestFit="1" customWidth="1"/>
    <col min="3" max="3" width="10" bestFit="1" customWidth="1"/>
    <col min="5" max="5" width="15.453125" bestFit="1" customWidth="1"/>
    <col min="6" max="6" width="18.1796875" bestFit="1" customWidth="1"/>
    <col min="10" max="10" width="16.36328125" bestFit="1" customWidth="1"/>
    <col min="11" max="11" width="15.08984375" bestFit="1" customWidth="1"/>
    <col min="12" max="15" width="15.26953125" bestFit="1" customWidth="1"/>
    <col min="16" max="16" width="10.7265625" bestFit="1" customWidth="1"/>
  </cols>
  <sheetData>
    <row r="1" spans="1:11" x14ac:dyDescent="0.35">
      <c r="A1" s="1" t="s">
        <v>20</v>
      </c>
      <c r="B1" s="1" t="s">
        <v>37</v>
      </c>
      <c r="C1" s="1" t="s">
        <v>38</v>
      </c>
      <c r="D1" s="1" t="s">
        <v>39</v>
      </c>
      <c r="E1" s="1" t="s">
        <v>40</v>
      </c>
      <c r="F1" s="6" t="s">
        <v>23</v>
      </c>
    </row>
    <row r="2" spans="1:11" x14ac:dyDescent="0.35">
      <c r="A2" t="s">
        <v>24</v>
      </c>
      <c r="B2" s="2">
        <v>2100</v>
      </c>
      <c r="C2" s="2">
        <v>1428</v>
      </c>
      <c r="D2" s="2">
        <v>672</v>
      </c>
      <c r="E2" s="2">
        <v>32</v>
      </c>
      <c r="F2" s="7">
        <f>($C2/$B2)*100</f>
        <v>68</v>
      </c>
      <c r="G2" s="4"/>
      <c r="J2" s="2" t="s">
        <v>41</v>
      </c>
      <c r="K2" s="2" t="s">
        <v>42</v>
      </c>
    </row>
    <row r="3" spans="1:11" x14ac:dyDescent="0.35">
      <c r="A3" t="s">
        <v>25</v>
      </c>
      <c r="B3" s="2">
        <v>1750</v>
      </c>
      <c r="C3" s="2">
        <v>1068</v>
      </c>
      <c r="D3" s="2">
        <v>682</v>
      </c>
      <c r="E3" s="2">
        <v>39</v>
      </c>
      <c r="F3" s="7">
        <f t="shared" ref="F3:F7" si="0">($C3/$B3)*100</f>
        <v>61.028571428571432</v>
      </c>
      <c r="G3" s="4"/>
      <c r="J3">
        <v>7439</v>
      </c>
      <c r="K3">
        <v>4061</v>
      </c>
    </row>
    <row r="4" spans="1:11" x14ac:dyDescent="0.35">
      <c r="A4" t="s">
        <v>26</v>
      </c>
      <c r="B4" s="2">
        <v>1900</v>
      </c>
      <c r="C4" s="2">
        <v>1235</v>
      </c>
      <c r="D4" s="2">
        <v>665</v>
      </c>
      <c r="E4" s="2">
        <v>35</v>
      </c>
      <c r="F4" s="7">
        <f t="shared" si="0"/>
        <v>65</v>
      </c>
      <c r="G4" s="4"/>
    </row>
    <row r="5" spans="1:11" x14ac:dyDescent="0.35">
      <c r="A5" t="s">
        <v>27</v>
      </c>
      <c r="B5" s="2">
        <v>1600</v>
      </c>
      <c r="C5" s="2">
        <v>928</v>
      </c>
      <c r="D5" s="2">
        <v>672</v>
      </c>
      <c r="E5" s="2">
        <v>42</v>
      </c>
      <c r="F5" s="7">
        <f t="shared" si="0"/>
        <v>57.999999999999993</v>
      </c>
      <c r="G5" s="4"/>
    </row>
    <row r="6" spans="1:11" x14ac:dyDescent="0.35">
      <c r="A6" t="s">
        <v>28</v>
      </c>
      <c r="B6" s="2">
        <v>1850</v>
      </c>
      <c r="C6" s="2">
        <v>1147</v>
      </c>
      <c r="D6" s="2">
        <v>703</v>
      </c>
      <c r="E6" s="2">
        <v>38</v>
      </c>
      <c r="F6" s="7">
        <f t="shared" si="0"/>
        <v>62</v>
      </c>
      <c r="G6" s="4"/>
    </row>
    <row r="7" spans="1:11" x14ac:dyDescent="0.35">
      <c r="A7" t="s">
        <v>29</v>
      </c>
      <c r="B7" s="2">
        <v>2300</v>
      </c>
      <c r="C7" s="2">
        <v>1633</v>
      </c>
      <c r="D7" s="2">
        <v>667</v>
      </c>
      <c r="E7" s="2">
        <v>29</v>
      </c>
      <c r="F7" s="7">
        <f t="shared" si="0"/>
        <v>71</v>
      </c>
      <c r="G7" s="4"/>
    </row>
    <row r="8" spans="1:11" x14ac:dyDescent="0.35">
      <c r="A8" s="9" t="s">
        <v>44</v>
      </c>
      <c r="B8" s="8">
        <f>SUM(B2:B7)</f>
        <v>11500</v>
      </c>
      <c r="C8" s="10"/>
      <c r="D8" s="10"/>
      <c r="E8" s="10"/>
      <c r="F8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48B9-A01F-485C-886D-DD3A36B346C7}">
  <sheetPr>
    <tabColor theme="6"/>
  </sheetPr>
  <dimension ref="B4:P10"/>
  <sheetViews>
    <sheetView showGridLines="0" tabSelected="1" topLeftCell="A5" zoomScale="90" zoomScaleNormal="90" workbookViewId="0">
      <selection activeCell="R20" sqref="R20"/>
    </sheetView>
  </sheetViews>
  <sheetFormatPr defaultRowHeight="14.5" x14ac:dyDescent="0.35"/>
  <cols>
    <col min="1" max="16384" width="8.7265625" style="5"/>
  </cols>
  <sheetData>
    <row r="4" spans="2:16" ht="33.5" x14ac:dyDescent="0.75">
      <c r="B4" s="12" t="s">
        <v>45</v>
      </c>
    </row>
    <row r="7" spans="2:16" x14ac:dyDescent="0.35">
      <c r="P7" s="11"/>
    </row>
    <row r="8" spans="2:16" x14ac:dyDescent="0.35">
      <c r="P8" s="11"/>
    </row>
    <row r="9" spans="2:16" x14ac:dyDescent="0.35">
      <c r="P9" s="11"/>
    </row>
    <row r="10" spans="2:16" x14ac:dyDescent="0.35">
      <c r="P10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campaign_engagement</vt:lpstr>
      <vt:lpstr>audience_by_age</vt:lpstr>
      <vt:lpstr>dropout_analysis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Bunga Fadila</cp:lastModifiedBy>
  <dcterms:created xsi:type="dcterms:W3CDTF">2025-07-20T11:49:18Z</dcterms:created>
  <dcterms:modified xsi:type="dcterms:W3CDTF">2026-01-02T11:49:37Z</dcterms:modified>
</cp:coreProperties>
</file>